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uff-descriptor" sheetId="1" state="visible" r:id="rId3"/>
    <sheet name="enemy-chances" sheetId="2" state="visible" r:id="rId4"/>
    <sheet name="item-chances" sheetId="3" state="visible" r:id="rId5"/>
    <sheet name="room-chanc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<sst xmlns="http://schemas.openxmlformats.org/spreadsheetml/2006/main" count="175" uniqueCount="119">
  <si>
    <t xml:space="preserve">tag</t>
  </si>
  <si>
    <t xml:space="preserve">icon</t>
  </si>
  <si>
    <t xml:space="preserve">name</t>
  </si>
  <si>
    <t xml:space="preserve">description</t>
  </si>
  <si>
    <t xml:space="preserve">color</t>
  </si>
  <si>
    <t xml:space="preserve">exp</t>
  </si>
  <si>
    <t xml:space="preserve">hp</t>
  </si>
  <si>
    <t xml:space="preserve">melee_power</t>
  </si>
  <si>
    <t xml:space="preserve">melee_skill</t>
  </si>
  <si>
    <t xml:space="preserve">defense</t>
  </si>
  <si>
    <t xml:space="preserve">heal</t>
  </si>
  <si>
    <t xml:space="preserve">ranged_power</t>
  </si>
  <si>
    <t xml:space="preserve">ranged_range</t>
  </si>
  <si>
    <t xml:space="preserve">ranged_skill</t>
  </si>
  <si>
    <t xml:space="preserve">aoe</t>
  </si>
  <si>
    <t xml:space="preserve">value</t>
  </si>
  <si>
    <t xml:space="preserve">slow</t>
  </si>
  <si>
    <t xml:space="preserve">Stairs</t>
  </si>
  <si>
    <t xml:space="preserve">stairs</t>
  </si>
  <si>
    <t xml:space="preserve">Move deeper into the dungeon</t>
  </si>
  <si>
    <t xml:space="preserve">white</t>
  </si>
  <si>
    <t xml:space="preserve">Tombstone</t>
  </si>
  <si>
    <t xml:space="preserve">tombstone</t>
  </si>
  <si>
    <t xml:space="preserve">Player</t>
  </si>
  <si>
    <t xml:space="preserve">person</t>
  </si>
  <si>
    <t xml:space="preserve">Your very self</t>
  </si>
  <si>
    <t xml:space="preserve">Wall</t>
  </si>
  <si>
    <t xml:space="preserve">wall</t>
  </si>
  <si>
    <t xml:space="preserve">#d4dfd7</t>
  </si>
  <si>
    <t xml:space="preserve">Door</t>
  </si>
  <si>
    <t xml:space="preserve">door</t>
  </si>
  <si>
    <t xml:space="preserve">A door</t>
  </si>
  <si>
    <t xml:space="preserve">Troll</t>
  </si>
  <si>
    <t xml:space="preserve">troll</t>
  </si>
  <si>
    <t xml:space="preserve">Clumsy but hits hard</t>
  </si>
  <si>
    <t xml:space="preserve">Orc</t>
  </si>
  <si>
    <t xml:space="preserve">orc-head</t>
  </si>
  <si>
    <t xml:space="preserve">Cunning, but brutal</t>
  </si>
  <si>
    <t xml:space="preserve">#06b306</t>
  </si>
  <si>
    <t xml:space="preserve">LeatherArmor</t>
  </si>
  <si>
    <t xml:space="preserve">leather-vest</t>
  </si>
  <si>
    <t xml:space="preserve">Leather Vest</t>
  </si>
  <si>
    <t xml:space="preserve">Comfy armor</t>
  </si>
  <si>
    <t xml:space="preserve">#00BFFF</t>
  </si>
  <si>
    <t xml:space="preserve">ChainMailArmor</t>
  </si>
  <si>
    <t xml:space="preserve">chain-mail</t>
  </si>
  <si>
    <t xml:space="preserve">Chain Mail</t>
  </si>
  <si>
    <t xml:space="preserve">Stronk</t>
  </si>
  <si>
    <t xml:space="preserve">Sword</t>
  </si>
  <si>
    <t xml:space="preserve">sword</t>
  </si>
  <si>
    <t xml:space="preserve">Simple Sword</t>
  </si>
  <si>
    <t xml:space="preserve">Larger weapon</t>
  </si>
  <si>
    <t xml:space="preserve">Dagger</t>
  </si>
  <si>
    <t xml:space="preserve">dagger</t>
  </si>
  <si>
    <t xml:space="preserve">Simple Dagger</t>
  </si>
  <si>
    <t xml:space="preserve">Small weapon</t>
  </si>
  <si>
    <t xml:space="preserve">HpPotion</t>
  </si>
  <si>
    <t xml:space="preserve">hp_potion</t>
  </si>
  <si>
    <t xml:space="preserve">Health Potion</t>
  </si>
  <si>
    <t xml:space="preserve">rgb(255, 0, 127)</t>
  </si>
  <si>
    <t xml:space="preserve">LightningScroll</t>
  </si>
  <si>
    <t xml:space="preserve">scroll</t>
  </si>
  <si>
    <t xml:space="preserve">Lightning Bolt</t>
  </si>
  <si>
    <t xml:space="preserve">Hurl a lightning bolt at your foe</t>
  </si>
  <si>
    <t xml:space="preserve">#fee85d</t>
  </si>
  <si>
    <t xml:space="preserve">ConfusionScroll</t>
  </si>
  <si>
    <t xml:space="preserve">Confusion Bolt</t>
  </si>
  <si>
    <t xml:space="preserve">Confuse the target enemy</t>
  </si>
  <si>
    <t xml:space="preserve">#800080</t>
  </si>
  <si>
    <t xml:space="preserve">FireBallScroll</t>
  </si>
  <si>
    <t xml:space="preserve">Fire Ball</t>
  </si>
  <si>
    <t xml:space="preserve">#af0808</t>
  </si>
  <si>
    <t xml:space="preserve">Warlord</t>
  </si>
  <si>
    <t xml:space="preserve">warlord-helmet</t>
  </si>
  <si>
    <t xml:space="preserve">Dark knight</t>
  </si>
  <si>
    <t xml:space="preserve">Knight lost to madness</t>
  </si>
  <si>
    <t xml:space="preserve">#406648</t>
  </si>
  <si>
    <t xml:space="preserve">Goblin</t>
  </si>
  <si>
    <t xml:space="preserve">goblin</t>
  </si>
  <si>
    <t xml:space="preserve">Small fellas. Constantly bullied by orcs</t>
  </si>
  <si>
    <t xml:space="preserve">Gargoyle</t>
  </si>
  <si>
    <t xml:space="preserve">gargoyle</t>
  </si>
  <si>
    <t xml:space="preserve">Carved or formed grotesque with a spout </t>
  </si>
  <si>
    <t xml:space="preserve">#826d6d</t>
  </si>
  <si>
    <t xml:space="preserve">Minotaur</t>
  </si>
  <si>
    <t xml:space="preserve">minotaur</t>
  </si>
  <si>
    <t xml:space="preserve">A mythological monster, half human half beef. Guardian of the labyrinth.</t>
  </si>
  <si>
    <t xml:space="preserve">#86730f</t>
  </si>
  <si>
    <t xml:space="preserve">PoisonScroll</t>
  </si>
  <si>
    <t xml:space="preserve">Poison Bolt</t>
  </si>
  <si>
    <t xml:space="preserve">Poison the enemy</t>
  </si>
  <si>
    <t xml:space="preserve">#84f437</t>
  </si>
  <si>
    <t xml:space="preserve">RareSword</t>
  </si>
  <si>
    <t xml:space="preserve">Rare Sword</t>
  </si>
  <si>
    <t xml:space="preserve">Rare sword formally owned by a knight</t>
  </si>
  <si>
    <t xml:space="preserve">#0d09ed</t>
  </si>
  <si>
    <t xml:space="preserve">RareDagger</t>
  </si>
  <si>
    <t xml:space="preserve">Rare Dagger</t>
  </si>
  <si>
    <t xml:space="preserve">Rare dagger</t>
  </si>
  <si>
    <t xml:space="preserve">Zombie</t>
  </si>
  <si>
    <t xml:space="preserve">zombie</t>
  </si>
  <si>
    <t xml:space="preserve">Shambling corpse. Once belonged to an adventurer like  you</t>
  </si>
  <si>
    <t xml:space="preserve">#f0ddd7</t>
  </si>
  <si>
    <t xml:space="preserve">WardScroll</t>
  </si>
  <si>
    <t xml:space="preserve">Scroll of Warding</t>
  </si>
  <si>
    <t xml:space="preserve">Cast a spell of warding on yourself.</t>
  </si>
  <si>
    <t xml:space="preserve">#12cbe3</t>
  </si>
  <si>
    <t xml:space="preserve">Shop</t>
  </si>
  <si>
    <t xml:space="preserve">shop</t>
  </si>
  <si>
    <t xml:space="preserve">Buy and sell items</t>
  </si>
  <si>
    <t xml:space="preserve">SlowScroll</t>
  </si>
  <si>
    <t xml:space="preserve">Slow</t>
  </si>
  <si>
    <t xml:space="preserve">Apply slow effect to the target</t>
  </si>
  <si>
    <t xml:space="preserve">yellow</t>
  </si>
  <si>
    <t xml:space="preserve">level</t>
  </si>
  <si>
    <t xml:space="preserve">weight</t>
  </si>
  <si>
    <t xml:space="preserve">kind</t>
  </si>
  <si>
    <t xml:space="preserve">max</t>
  </si>
  <si>
    <t xml:space="preserve">Normal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</si>
</sst>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imbus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imbus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1" ySplit="0" topLeftCell="H3" activePane="topRight" state="frozen"/>
      <selection pane="topLeft" activeCell="A3" activeCellId="0" sqref="A3"/>
      <selection pane="topRight" activeCell="Q26" activeCellId="0" sqref="Q26"/>
    </sheetView>
  </sheetViews>
  <sheetFormatPr defaultColWidth="11.546875" defaultRowHeight="12.8" customHeight="false" zeroHeight="false" outlineLevelRow="0" outlineLevelCol="0"/>
  <cols>
    <col collapsed="false" customWidth="true" hidden="false" outlineLevel="0" max="1" min="1" style="1" width="14.43"/>
    <col collapsed="false" customWidth="true" hidden="false" outlineLevel="0" max="2" min="2" style="1" width="13.34"/>
    <col collapsed="false" customWidth="true" hidden="false" outlineLevel="0" max="3" min="3" style="1" width="13.18"/>
    <col collapsed="false" customWidth="true" hidden="false" outlineLevel="0" max="4" min="4" style="1" width="42.07"/>
    <col collapsed="false" customWidth="true" hidden="false" outlineLevel="0" max="5" min="5" style="1" width="14.99"/>
    <col collapsed="false" customWidth="true" hidden="false" outlineLevel="0" max="8" min="8" style="1" width="13.28"/>
    <col collapsed="false" customWidth="true" hidden="false" outlineLevel="0" max="12" min="12" style="1" width="13.87"/>
    <col collapsed="false" customWidth="true" hidden="false" outlineLevel="0" max="13" min="13" style="1" width="13.45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2.8" hidden="false" customHeight="false" outlineLevel="0" collapsed="false">
      <c r="A2" s="1" t="s">
        <v>17</v>
      </c>
      <c r="B2" s="1" t="s">
        <v>18</v>
      </c>
      <c r="C2" s="1" t="s">
        <v>17</v>
      </c>
      <c r="D2" s="1" t="s">
        <v>19</v>
      </c>
      <c r="E2" s="1" t="s">
        <v>20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21</v>
      </c>
    </row>
    <row r="4" customFormat="false" ht="12.8" hidden="false" customHeight="false" outlineLevel="0" collapsed="false">
      <c r="A4" s="1" t="s">
        <v>23</v>
      </c>
      <c r="B4" s="1" t="s">
        <v>24</v>
      </c>
      <c r="C4" s="1" t="s">
        <v>23</v>
      </c>
      <c r="D4" s="1" t="s">
        <v>25</v>
      </c>
      <c r="E4" s="1" t="s">
        <v>20</v>
      </c>
      <c r="G4" s="1" t="n">
        <v>10</v>
      </c>
      <c r="H4" s="1" t="n">
        <v>1</v>
      </c>
      <c r="I4" s="1" t="n">
        <v>5</v>
      </c>
      <c r="J4" s="1" t="n">
        <v>0</v>
      </c>
    </row>
    <row r="5" customFormat="false" ht="12.8" hidden="false" customHeight="false" outlineLevel="0" collapsed="false">
      <c r="A5" s="1" t="s">
        <v>26</v>
      </c>
      <c r="B5" s="1" t="s">
        <v>27</v>
      </c>
      <c r="E5" s="1" t="s">
        <v>28</v>
      </c>
    </row>
    <row r="6" customFormat="false" ht="12.8" hidden="false" customHeight="false" outlineLevel="0" collapsed="false">
      <c r="A6" s="1" t="s">
        <v>29</v>
      </c>
      <c r="B6" s="1" t="s">
        <v>30</v>
      </c>
      <c r="D6" s="1" t="s">
        <v>31</v>
      </c>
      <c r="E6" s="1" t="s">
        <v>28</v>
      </c>
    </row>
    <row r="7" customFormat="false" ht="12.8" hidden="false" customHeight="false" outlineLevel="0" collapsed="false">
      <c r="A7" s="1" t="s">
        <v>32</v>
      </c>
      <c r="B7" s="1" t="s">
        <v>33</v>
      </c>
      <c r="C7" s="1" t="s">
        <v>32</v>
      </c>
      <c r="D7" s="1" t="s">
        <v>34</v>
      </c>
      <c r="E7" s="1" t="s">
        <v>20</v>
      </c>
      <c r="F7" s="1" t="n">
        <v>100</v>
      </c>
      <c r="G7" s="1" t="n">
        <v>6</v>
      </c>
      <c r="H7" s="1" t="n">
        <v>4</v>
      </c>
      <c r="I7" s="1" t="n">
        <v>1</v>
      </c>
      <c r="J7" s="1" t="n">
        <v>4</v>
      </c>
    </row>
    <row r="8" customFormat="false" ht="12.8" hidden="false" customHeight="false" outlineLevel="0" collapsed="false">
      <c r="A8" s="1" t="s">
        <v>35</v>
      </c>
      <c r="B8" s="1" t="s">
        <v>36</v>
      </c>
      <c r="C8" s="1" t="s">
        <v>35</v>
      </c>
      <c r="D8" s="1" t="s">
        <v>37</v>
      </c>
      <c r="E8" s="1" t="s">
        <v>38</v>
      </c>
      <c r="F8" s="1" t="n">
        <v>35</v>
      </c>
      <c r="G8" s="1" t="n">
        <v>4</v>
      </c>
      <c r="H8" s="1" t="n">
        <v>2</v>
      </c>
      <c r="I8" s="1" t="n">
        <v>3</v>
      </c>
      <c r="J8" s="1" t="n">
        <v>0</v>
      </c>
    </row>
    <row r="9" customFormat="false" ht="12.8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J9" s="1" t="n">
        <v>1</v>
      </c>
      <c r="P9" s="3" t="n">
        <v>5</v>
      </c>
    </row>
    <row r="10" customFormat="false" ht="12.8" hidden="false" customHeight="false" outlineLevel="0" collapsed="false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43</v>
      </c>
      <c r="J10" s="1" t="n">
        <v>3</v>
      </c>
      <c r="P10" s="3" t="n">
        <v>8</v>
      </c>
    </row>
    <row r="11" customFormat="false" ht="12.8" hidden="false" customHeight="false" outlineLevel="0" collapsed="false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43</v>
      </c>
      <c r="H11" s="1" t="n">
        <v>4</v>
      </c>
      <c r="I11" s="1" t="n">
        <v>0</v>
      </c>
      <c r="P11" s="3" t="n">
        <v>8</v>
      </c>
    </row>
    <row r="12" customFormat="false" ht="12.8" hidden="false" customHeight="false" outlineLevel="0" collapsed="false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43</v>
      </c>
      <c r="H12" s="1" t="n">
        <v>2</v>
      </c>
      <c r="I12" s="1" t="n">
        <v>0</v>
      </c>
      <c r="P12" s="3" t="n">
        <v>5</v>
      </c>
    </row>
    <row r="13" customFormat="false" ht="12.8" hidden="false" customHeight="false" outlineLevel="0" collapsed="false">
      <c r="A13" s="1" t="s">
        <v>56</v>
      </c>
      <c r="B13" s="1" t="s">
        <v>57</v>
      </c>
      <c r="C13" s="1" t="s">
        <v>58</v>
      </c>
      <c r="D13" s="1" t="str">
        <f aca="false">"Restores "&amp;K13&amp;" health"</f>
        <v>Restores 3 health</v>
      </c>
      <c r="E13" s="1" t="s">
        <v>59</v>
      </c>
      <c r="K13" s="1" t="n">
        <v>3</v>
      </c>
      <c r="P13" s="3" t="n">
        <v>3</v>
      </c>
    </row>
    <row r="14" customFormat="false" ht="12.8" hidden="false" customHeight="false" outlineLevel="0" collapsed="false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L14" s="1" t="n">
        <v>3</v>
      </c>
      <c r="M14" s="1" t="n">
        <v>5</v>
      </c>
      <c r="N14" s="1" t="n">
        <v>4</v>
      </c>
      <c r="P14" s="3" t="n">
        <v>10</v>
      </c>
    </row>
    <row r="15" customFormat="false" ht="12.8" hidden="false" customHeight="false" outlineLevel="0" collapsed="false">
      <c r="A15" s="1" t="s">
        <v>65</v>
      </c>
      <c r="B15" s="1" t="s">
        <v>61</v>
      </c>
      <c r="C15" s="1" t="s">
        <v>66</v>
      </c>
      <c r="D15" s="1" t="s">
        <v>67</v>
      </c>
      <c r="E15" s="1" t="s">
        <v>68</v>
      </c>
      <c r="L15" s="1" t="n">
        <v>10</v>
      </c>
      <c r="M15" s="1" t="n">
        <v>5</v>
      </c>
      <c r="N15" s="1" t="n">
        <v>4</v>
      </c>
      <c r="P15" s="3" t="n">
        <v>5</v>
      </c>
    </row>
    <row r="16" customFormat="false" ht="12.8" hidden="false" customHeight="false" outlineLevel="0" collapsed="false">
      <c r="A16" s="1" t="s">
        <v>69</v>
      </c>
      <c r="B16" s="1" t="s">
        <v>61</v>
      </c>
      <c r="C16" s="1" t="s">
        <v>70</v>
      </c>
      <c r="D16" s="1" t="str">
        <f aca="false">"Hurl a fireball dealing damage in an area with radius "&amp;O16&amp;" for "&amp;L16&amp;" damage"</f>
        <v>Hurl a fireball dealing damage in an area with radius 3 for 4 damage</v>
      </c>
      <c r="E16" s="1" t="s">
        <v>71</v>
      </c>
      <c r="L16" s="1" t="n">
        <v>4</v>
      </c>
      <c r="M16" s="1" t="n">
        <v>5</v>
      </c>
      <c r="N16" s="1" t="n">
        <v>4</v>
      </c>
      <c r="O16" s="1" t="n">
        <v>3</v>
      </c>
      <c r="P16" s="3" t="n">
        <v>15</v>
      </c>
    </row>
    <row r="17" customFormat="false" ht="12.8" hidden="false" customHeight="false" outlineLevel="0" collapsed="false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n">
        <v>200</v>
      </c>
      <c r="G17" s="1" t="n">
        <v>10</v>
      </c>
      <c r="H17" s="1" t="n">
        <v>8</v>
      </c>
      <c r="I17" s="1" t="n">
        <v>4</v>
      </c>
      <c r="J17" s="1" t="n">
        <v>4</v>
      </c>
    </row>
    <row r="18" customFormat="false" ht="12.8" hidden="false" customHeight="false" outlineLevel="0" collapsed="false">
      <c r="A18" s="1" t="s">
        <v>77</v>
      </c>
      <c r="B18" s="1" t="s">
        <v>78</v>
      </c>
      <c r="C18" s="1" t="s">
        <v>77</v>
      </c>
      <c r="D18" s="1" t="s">
        <v>79</v>
      </c>
      <c r="E18" s="1" t="s">
        <v>38</v>
      </c>
      <c r="F18" s="1" t="n">
        <v>25</v>
      </c>
      <c r="G18" s="1" t="n">
        <v>3</v>
      </c>
      <c r="H18" s="1" t="n">
        <v>1</v>
      </c>
      <c r="I18" s="1" t="n">
        <v>3</v>
      </c>
      <c r="J18" s="1" t="n">
        <v>0</v>
      </c>
    </row>
    <row r="19" customFormat="false" ht="12.8" hidden="false" customHeight="false" outlineLevel="0" collapsed="false">
      <c r="A19" s="1" t="s">
        <v>80</v>
      </c>
      <c r="B19" s="1" t="s">
        <v>81</v>
      </c>
      <c r="C19" s="1" t="s">
        <v>80</v>
      </c>
      <c r="D19" s="4" t="s">
        <v>82</v>
      </c>
      <c r="E19" s="1" t="s">
        <v>83</v>
      </c>
      <c r="F19" s="1" t="n">
        <f aca="false">_xlfn.CEILING.MATH(F7*2/3)+5</f>
        <v>72</v>
      </c>
      <c r="G19" s="1" t="n">
        <f aca="false">_xlfn.CEILING.MATH(G7*2/3)</f>
        <v>4</v>
      </c>
      <c r="H19" s="1" t="n">
        <f aca="false">_xlfn.CEILING.MATH(H7*2/3)</f>
        <v>3</v>
      </c>
      <c r="I19" s="1" t="n">
        <v>3</v>
      </c>
      <c r="J19" s="1" t="n">
        <f aca="false">_xlfn.CEILING.MATH(J7*2/3)</f>
        <v>3</v>
      </c>
    </row>
    <row r="20" customFormat="false" ht="23.85" hidden="false" customHeight="false" outlineLevel="0" collapsed="false">
      <c r="A20" s="1" t="s">
        <v>84</v>
      </c>
      <c r="B20" s="1" t="s">
        <v>85</v>
      </c>
      <c r="C20" s="1" t="s">
        <v>84</v>
      </c>
      <c r="D20" s="4" t="s">
        <v>86</v>
      </c>
      <c r="E20" s="1" t="s">
        <v>87</v>
      </c>
      <c r="F20" s="1" t="n">
        <v>120</v>
      </c>
      <c r="G20" s="1" t="n">
        <v>8</v>
      </c>
      <c r="H20" s="1" t="n">
        <v>4</v>
      </c>
      <c r="I20" s="1" t="n">
        <v>3</v>
      </c>
      <c r="J20" s="1" t="n">
        <v>4</v>
      </c>
    </row>
    <row r="21" customFormat="false" ht="12.8" hidden="false" customHeight="false" outlineLevel="0" collapsed="false">
      <c r="A21" s="1" t="s">
        <v>88</v>
      </c>
      <c r="B21" s="1" t="s">
        <v>61</v>
      </c>
      <c r="C21" s="1" t="s">
        <v>89</v>
      </c>
      <c r="D21" s="1" t="s">
        <v>90</v>
      </c>
      <c r="E21" s="1" t="s">
        <v>91</v>
      </c>
      <c r="L21" s="1" t="n">
        <v>1</v>
      </c>
      <c r="M21" s="1" t="n">
        <v>5</v>
      </c>
      <c r="N21" s="3" t="n">
        <v>4</v>
      </c>
      <c r="P21" s="3" t="n">
        <v>10</v>
      </c>
    </row>
    <row r="22" customFormat="false" ht="12.8" hidden="false" customHeight="false" outlineLevel="0" collapsed="false">
      <c r="A22" s="1" t="s">
        <v>92</v>
      </c>
      <c r="B22" s="1" t="s">
        <v>49</v>
      </c>
      <c r="C22" s="1" t="s">
        <v>93</v>
      </c>
      <c r="D22" s="1" t="s">
        <v>94</v>
      </c>
      <c r="E22" s="1" t="s">
        <v>95</v>
      </c>
      <c r="H22" s="1" t="n">
        <v>7</v>
      </c>
      <c r="I22" s="1" t="n">
        <v>0</v>
      </c>
      <c r="P22" s="3" t="n">
        <v>20</v>
      </c>
    </row>
    <row r="23" customFormat="false" ht="12.8" hidden="false" customHeight="false" outlineLevel="0" collapsed="false">
      <c r="A23" s="1" t="s">
        <v>96</v>
      </c>
      <c r="B23" s="1" t="s">
        <v>53</v>
      </c>
      <c r="C23" s="1" t="s">
        <v>97</v>
      </c>
      <c r="D23" s="1" t="s">
        <v>98</v>
      </c>
      <c r="E23" s="1" t="s">
        <v>43</v>
      </c>
      <c r="H23" s="1" t="n">
        <f aca="false">_xlfn.FLOOR.MATH((H22+H11)/2)</f>
        <v>5</v>
      </c>
      <c r="I23" s="1" t="n">
        <v>1</v>
      </c>
      <c r="P23" s="3" t="n">
        <v>15</v>
      </c>
    </row>
    <row r="24" customFormat="false" ht="12.8" hidden="false" customHeight="false" outlineLevel="0" collapsed="false">
      <c r="A24" s="1" t="s">
        <v>99</v>
      </c>
      <c r="B24" s="1" t="s">
        <v>100</v>
      </c>
      <c r="C24" s="1" t="s">
        <v>99</v>
      </c>
      <c r="D24" s="1" t="s">
        <v>101</v>
      </c>
      <c r="E24" s="1" t="s">
        <v>102</v>
      </c>
      <c r="F24" s="1" t="n">
        <v>50</v>
      </c>
      <c r="G24" s="1" t="n">
        <v>5</v>
      </c>
      <c r="H24" s="1" t="n">
        <v>3</v>
      </c>
      <c r="I24" s="1" t="n">
        <v>2</v>
      </c>
      <c r="J24" s="1" t="n">
        <v>1</v>
      </c>
    </row>
    <row r="25" customFormat="false" ht="12.8" hidden="false" customHeight="false" outlineLevel="0" collapsed="false">
      <c r="A25" s="1" t="s">
        <v>103</v>
      </c>
      <c r="B25" s="1" t="s">
        <v>61</v>
      </c>
      <c r="C25" s="1" t="s">
        <v>104</v>
      </c>
      <c r="D25" s="1" t="s">
        <v>105</v>
      </c>
      <c r="E25" s="1" t="s">
        <v>106</v>
      </c>
      <c r="J25" s="1"/>
      <c r="L25" s="1" t="n">
        <v>5</v>
      </c>
      <c r="M25" s="3" t="n">
        <v>0</v>
      </c>
      <c r="N25" s="3" t="n">
        <v>0</v>
      </c>
      <c r="P25" s="3" t="n">
        <v>10</v>
      </c>
    </row>
    <row r="26" customFormat="false" ht="12.8" hidden="false" customHeight="false" outlineLevel="0" collapsed="false">
      <c r="A26" s="1" t="s">
        <v>107</v>
      </c>
      <c r="B26" s="1" t="s">
        <v>108</v>
      </c>
      <c r="C26" s="1" t="s">
        <v>107</v>
      </c>
      <c r="D26" s="1" t="s">
        <v>109</v>
      </c>
      <c r="E26" s="1" t="s">
        <v>20</v>
      </c>
      <c r="F26" s="3" t="n">
        <v>500</v>
      </c>
      <c r="G26" s="3" t="n">
        <v>5000</v>
      </c>
      <c r="H26" s="1" t="n">
        <v>10</v>
      </c>
      <c r="I26" s="3" t="n">
        <v>6</v>
      </c>
      <c r="J26" s="3" t="n">
        <v>1000</v>
      </c>
    </row>
    <row r="27" customFormat="false" ht="12.8" hidden="false" customHeight="false" outlineLevel="0" collapsed="false">
      <c r="A27" s="1" t="s">
        <v>110</v>
      </c>
      <c r="B27" s="1" t="s">
        <v>61</v>
      </c>
      <c r="C27" s="1" t="s">
        <v>111</v>
      </c>
      <c r="D27" s="1" t="s">
        <v>112</v>
      </c>
      <c r="E27" s="1" t="s">
        <v>113</v>
      </c>
      <c r="Q27" s="3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&amp;C&amp;"Nimbus Roman,Regular"&amp;12&amp;A</oddHeader>
    <oddFooter>&amp;C&amp;"Nimbus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4687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114</v>
      </c>
      <c r="B1" s="2" t="s">
        <v>0</v>
      </c>
      <c r="C1" s="2" t="s">
        <v>115</v>
      </c>
    </row>
    <row r="2" customFormat="false" ht="12.8" hidden="false" customHeight="false" outlineLevel="0" collapsed="false">
      <c r="A2" s="1" t="n">
        <v>1</v>
      </c>
      <c r="B2" s="1" t="s">
        <v>35</v>
      </c>
      <c r="C2" s="1" t="n">
        <v>80</v>
      </c>
    </row>
    <row r="3" customFormat="false" ht="12.8" hidden="false" customHeight="false" outlineLevel="0" collapsed="false">
      <c r="A3" s="1" t="n">
        <v>1</v>
      </c>
      <c r="B3" s="1" t="s">
        <v>77</v>
      </c>
      <c r="C3" s="1" t="n">
        <v>120</v>
      </c>
    </row>
    <row r="4" customFormat="false" ht="12.8" hidden="false" customHeight="false" outlineLevel="0" collapsed="false">
      <c r="A4" s="1" t="n">
        <v>2</v>
      </c>
      <c r="B4" s="1" t="s">
        <v>32</v>
      </c>
      <c r="C4" s="1" t="n">
        <v>15</v>
      </c>
    </row>
    <row r="5" customFormat="false" ht="12.8" hidden="false" customHeight="false" outlineLevel="0" collapsed="false">
      <c r="A5" s="1" t="n">
        <v>4</v>
      </c>
      <c r="B5" s="1" t="s">
        <v>80</v>
      </c>
      <c r="C5" s="1" t="n">
        <v>30</v>
      </c>
    </row>
    <row r="6" customFormat="false" ht="12.8" hidden="false" customHeight="false" outlineLevel="0" collapsed="false">
      <c r="A6" s="1" t="n">
        <v>5</v>
      </c>
      <c r="B6" s="1" t="s">
        <v>32</v>
      </c>
      <c r="C6" s="1" t="n">
        <v>30</v>
      </c>
    </row>
    <row r="7" customFormat="false" ht="12.8" hidden="false" customHeight="false" outlineLevel="0" collapsed="false">
      <c r="A7" s="1" t="n">
        <v>6</v>
      </c>
      <c r="B7" s="1" t="s">
        <v>72</v>
      </c>
      <c r="C7" s="1" t="n">
        <v>60</v>
      </c>
    </row>
    <row r="8" customFormat="false" ht="12.8" hidden="false" customHeight="false" outlineLevel="0" collapsed="false">
      <c r="A8" s="3" t="n">
        <v>7</v>
      </c>
      <c r="B8" s="1" t="s">
        <v>84</v>
      </c>
      <c r="C8" s="3" t="n">
        <v>80</v>
      </c>
    </row>
    <row r="9" customFormat="false" ht="12.8" hidden="false" customHeight="false" outlineLevel="0" collapsed="false">
      <c r="A9" s="1" t="n">
        <v>7</v>
      </c>
      <c r="B9" s="1" t="s">
        <v>72</v>
      </c>
      <c r="C9" s="1" t="n">
        <v>50</v>
      </c>
    </row>
    <row r="10" customFormat="false" ht="12.8" hidden="false" customHeight="false" outlineLevel="0" collapsed="false">
      <c r="A10" s="3" t="n">
        <v>2</v>
      </c>
      <c r="B10" s="1" t="s">
        <v>99</v>
      </c>
      <c r="C10" s="3" t="n">
        <v>30</v>
      </c>
    </row>
    <row r="11" customFormat="false" ht="12.8" hidden="false" customHeight="false" outlineLevel="0" collapsed="false">
      <c r="A11" s="3" t="n">
        <v>3</v>
      </c>
      <c r="B11" s="1" t="s">
        <v>77</v>
      </c>
      <c r="C11" s="3" t="n">
        <v>80</v>
      </c>
    </row>
  </sheetData>
  <dataValidations count="1">
    <dataValidation allowBlank="true" errorStyle="stop" operator="equal" showDropDown="false" showErrorMessage="true" showInputMessage="false" sqref="B2:B1011" type="list">
      <formula1>'stuff-descriptor'!$A$2:$A$1048576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&amp;C&amp;"Nimbus Roman,Regular"&amp;12&amp;A</oddHeader>
    <oddFooter>&amp;C&amp;"Nimbus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46875" defaultRowHeight="12.8" customHeight="false" zeroHeight="false" outlineLevelRow="0" outlineLevelCol="0"/>
  <cols>
    <col collapsed="false" customWidth="true" hidden="false" outlineLevel="0" max="1" min="1" style="1" width="5.21"/>
    <col collapsed="false" customWidth="true" hidden="false" outlineLevel="0" max="2" min="2" style="1" width="14.43"/>
  </cols>
  <sheetData>
    <row r="1" customFormat="false" ht="12.8" hidden="false" customHeight="false" outlineLevel="0" collapsed="false">
      <c r="A1" s="2" t="s">
        <v>114</v>
      </c>
      <c r="B1" s="2" t="s">
        <v>0</v>
      </c>
      <c r="C1" s="2" t="s">
        <v>115</v>
      </c>
    </row>
    <row r="2" customFormat="false" ht="12.8" hidden="false" customHeight="false" outlineLevel="0" collapsed="false">
      <c r="A2" s="1" t="n">
        <v>0</v>
      </c>
      <c r="B2" s="1" t="s">
        <v>56</v>
      </c>
      <c r="C2" s="1" t="n">
        <v>80</v>
      </c>
    </row>
    <row r="3" customFormat="false" ht="12.8" hidden="false" customHeight="false" outlineLevel="0" collapsed="false">
      <c r="A3" s="1" t="n">
        <v>0</v>
      </c>
      <c r="B3" s="1" t="s">
        <v>52</v>
      </c>
      <c r="C3" s="1" t="n">
        <v>40</v>
      </c>
    </row>
    <row r="4" customFormat="false" ht="12.8" hidden="false" customHeight="false" outlineLevel="0" collapsed="false">
      <c r="A4" s="1" t="n">
        <v>0</v>
      </c>
      <c r="B4" s="1" t="s">
        <v>39</v>
      </c>
      <c r="C4" s="1" t="n">
        <v>40</v>
      </c>
    </row>
    <row r="5" customFormat="false" ht="12.8" hidden="false" customHeight="false" outlineLevel="0" collapsed="false">
      <c r="A5" s="1" t="n">
        <v>2</v>
      </c>
      <c r="B5" s="1" t="s">
        <v>65</v>
      </c>
      <c r="C5" s="1" t="n">
        <v>10</v>
      </c>
    </row>
    <row r="6" customFormat="false" ht="12.8" hidden="false" customHeight="false" outlineLevel="0" collapsed="false">
      <c r="A6" s="1" t="n">
        <v>2</v>
      </c>
      <c r="B6" s="1" t="s">
        <v>48</v>
      </c>
      <c r="C6" s="1" t="n">
        <v>30</v>
      </c>
    </row>
    <row r="7" customFormat="false" ht="12.8" hidden="false" customHeight="false" outlineLevel="0" collapsed="false">
      <c r="A7" s="1" t="n">
        <v>2</v>
      </c>
      <c r="B7" s="1" t="s">
        <v>44</v>
      </c>
      <c r="C7" s="1" t="n">
        <v>30</v>
      </c>
    </row>
    <row r="8" customFormat="false" ht="12.8" hidden="false" customHeight="false" outlineLevel="0" collapsed="false">
      <c r="A8" s="1" t="n">
        <v>4</v>
      </c>
      <c r="B8" s="1" t="s">
        <v>60</v>
      </c>
      <c r="C8" s="1" t="n">
        <v>25</v>
      </c>
    </row>
    <row r="9" customFormat="false" ht="12.8" hidden="false" customHeight="false" outlineLevel="0" collapsed="false">
      <c r="A9" s="1" t="n">
        <v>6</v>
      </c>
      <c r="B9" s="1" t="s">
        <v>69</v>
      </c>
      <c r="C9" s="1" t="n">
        <v>25</v>
      </c>
    </row>
    <row r="10" customFormat="false" ht="12.8" hidden="false" customHeight="false" outlineLevel="0" collapsed="false">
      <c r="A10" s="1" t="n">
        <v>0</v>
      </c>
      <c r="B10" s="1" t="s">
        <v>88</v>
      </c>
      <c r="C10" s="1" t="n">
        <v>10</v>
      </c>
    </row>
    <row r="11" customFormat="false" ht="12.8" hidden="false" customHeight="false" outlineLevel="0" collapsed="false">
      <c r="A11" s="1" t="n">
        <v>3</v>
      </c>
      <c r="B11" s="1" t="s">
        <v>92</v>
      </c>
      <c r="C11" s="3" t="n">
        <v>10</v>
      </c>
    </row>
    <row r="12" customFormat="false" ht="12.8" hidden="false" customHeight="false" outlineLevel="0" collapsed="false">
      <c r="A12" s="1" t="n">
        <v>3</v>
      </c>
      <c r="B12" s="1" t="s">
        <v>96</v>
      </c>
      <c r="C12" s="3" t="n">
        <v>15</v>
      </c>
    </row>
    <row r="13" customFormat="false" ht="12.8" hidden="false" customHeight="false" outlineLevel="0" collapsed="false">
      <c r="A13" s="1" t="n">
        <v>3</v>
      </c>
      <c r="B13" s="1" t="s">
        <v>103</v>
      </c>
      <c r="C13" s="3" t="n">
        <v>8</v>
      </c>
    </row>
    <row r="14" customFormat="false" ht="12.8" hidden="false" customHeight="false" outlineLevel="0" collapsed="false">
      <c r="A14" s="1" t="n">
        <v>4</v>
      </c>
      <c r="B14" s="1" t="s">
        <v>103</v>
      </c>
      <c r="C14" s="3" t="n">
        <v>20</v>
      </c>
    </row>
    <row r="15" customFormat="false" ht="12.8" hidden="false" customHeight="false" outlineLevel="0" collapsed="false">
      <c r="A15" s="1" t="n">
        <v>1</v>
      </c>
      <c r="B15" s="1" t="s">
        <v>110</v>
      </c>
      <c r="C15" s="0" t="n">
        <v>10</v>
      </c>
    </row>
  </sheetData>
  <dataValidations count="1">
    <dataValidation allowBlank="true" errorStyle="stop" operator="equal" showDropDown="false" showErrorMessage="true" showInputMessage="false" sqref="B2:B12 B15:B1012" type="list">
      <formula1>'stuff-descriptor'!$A$2:$A$1048576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&amp;C&amp;"Nimbus Roman,Regular"&amp;12&amp;A</oddHeader>
    <oddFooter>&amp;C&amp;"Nimbus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082031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116</v>
      </c>
      <c r="B1" s="2" t="s">
        <v>115</v>
      </c>
      <c r="C1" s="2" t="s">
        <v>117</v>
      </c>
    </row>
    <row r="2" customFormat="false" ht="12.8" hidden="false" customHeight="false" outlineLevel="0" collapsed="false">
      <c r="A2" s="3" t="s">
        <v>107</v>
      </c>
      <c r="B2" s="3" t="n">
        <v>10</v>
      </c>
      <c r="C2" s="3" t="n">
        <v>1</v>
      </c>
    </row>
    <row r="3" customFormat="false" ht="12.8" hidden="false" customHeight="false" outlineLevel="0" collapsed="false">
      <c r="A3" s="3" t="s">
        <v>118</v>
      </c>
      <c r="B3" s="3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428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2022-09-03T14:44:26Z</dcterms:created>
  <dc:creator/>
  <dc:description/>
  <dc:language>en-US</dc:language>
  <cp:lastModifiedBy/>
  <dcterms:modified xsi:type="dcterms:W3CDTF">2026-04-18T23:17:13Z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